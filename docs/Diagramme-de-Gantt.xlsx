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othilde/Desktop/Cours/SLAM/"/>
    </mc:Choice>
  </mc:AlternateContent>
  <xr:revisionPtr revIDLastSave="0" documentId="8_{AD2FD988-5E33-B849-845F-91197E322F1B}" xr6:coauthVersionLast="47" xr6:coauthVersionMax="47" xr10:uidLastSave="{00000000-0000-0000-0000-000000000000}"/>
  <bookViews>
    <workbookView xWindow="80" yWindow="600" windowWidth="25440" windowHeight="14420" xr2:uid="{F68FC12A-5FA8-3548-96A8-5A835FE260CD}"/>
  </bookViews>
  <sheets>
    <sheet name="Planning Gantt" sheetId="1" r:id="rId1"/>
    <sheet name="Chart Data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<sst xmlns="http://schemas.openxmlformats.org/spreadsheetml/2006/main" count="62" uniqueCount="34">
  <si>
    <t>PROJET D’ÉCOLE — PLANNING GANTT</t>
  </si>
  <si>
    <t>Application 1 : livraison prévue le 30 novembre 2026 | Application 2 : dates à définir</t>
  </si>
  <si>
    <t>Priorité immédiate : définir les tâches et lire les documents de présentation de l’entreprise aujourd’hui ; finaliser le cahier des charges avant le 16 octobre.</t>
  </si>
  <si>
    <t>N°</t>
  </si>
  <si>
    <t>Projet</t>
  </si>
  <si>
    <t>Tâche</t>
  </si>
  <si>
    <t>Début</t>
  </si>
  <si>
    <t>Fin</t>
  </si>
  <si>
    <t>Durée (j)</t>
  </si>
  <si>
    <t>Statut</t>
  </si>
  <si>
    <t>Avancement</t>
  </si>
  <si>
    <t>Application 1</t>
  </si>
  <si>
    <t>Déterminer la liste des tâches</t>
  </si>
  <si>
    <t>À faire aujourd’hui</t>
  </si>
  <si>
    <t>Lire les documents de présentation de l’entreprise</t>
  </si>
  <si>
    <t>Synthétiser le contexte et les besoins</t>
  </si>
  <si>
    <t>À faire</t>
  </si>
  <si>
    <t>Définir le périmètre et les fonctionnalités</t>
  </si>
  <si>
    <t>Rédiger le cahier des charges</t>
  </si>
  <si>
    <t>Faire relire et corriger le cahier des charges</t>
  </si>
  <si>
    <t>Finaliser le cahier des charges</t>
  </si>
  <si>
    <t>Jalon</t>
  </si>
  <si>
    <t>Concevoir les maquettes et l’architecture</t>
  </si>
  <si>
    <t>Développer l’application</t>
  </si>
  <si>
    <t>Réaliser les tests fonctionnels</t>
  </si>
  <si>
    <t>Corriger et stabiliser l’application</t>
  </si>
  <si>
    <t>Préparer la démonstration et la documentation</t>
  </si>
  <si>
    <t>Livrer la première application</t>
  </si>
  <si>
    <t>Application 2</t>
  </si>
  <si>
    <t>Cadrer les besoins et fixer une date</t>
  </si>
  <si>
    <t>À planifier</t>
  </si>
  <si>
    <t>Concevoir, développer et tester</t>
  </si>
  <si>
    <t>Début relatif</t>
  </si>
  <si>
    <t>Durée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</si>
</sst>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6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2"/>
      <color rgb="FF17365D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sz val="12"/>
      <color rgb="FF22222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9" fontId="5" fillId="4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164" fontId="5" fillId="5" borderId="0" xfId="0" applyNumberFormat="1" applyFont="1" applyFill="1" applyAlignment="1">
      <alignment horizontal="center"/>
    </xf>
    <xf numFmtId="9" fontId="5" fillId="5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/>
    <xf numFmtId="164" fontId="5" fillId="6" borderId="0" xfId="0" applyNumberFormat="1" applyFont="1" applyFill="1" applyAlignment="1">
      <alignment horizontal="center"/>
    </xf>
    <xf numFmtId="9" fontId="5" fillId="6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7" borderId="0" xfId="0" applyFont="1" applyFill="1"/>
    <xf numFmtId="164" fontId="5" fillId="7" borderId="0" xfId="0" applyNumberFormat="1" applyFont="1" applyFill="1" applyAlignment="1">
      <alignment horizontal="center"/>
    </xf>
    <xf numFmtId="9" fontId="5" fillId="7" borderId="0" xfId="0" applyNumberFormat="1" applyFont="1" applyFill="1" applyAlignment="1">
      <alignment horizontal="center"/>
    </xf>
    <xf numFmtId="1" fontId="0" fillId="0" borderId="0" xfId="0" applyNumberFormat="1"/>
    <xf numFmtId="0" fontId="4" fillId="0" borderId="0" xfId="0" applyFont="1" applyAlignment="1">
      <alignment wrapText="1"/>
    </xf>
    <xf numFmtId="0" fontId="5" fillId="5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5" fillId="7" borderId="0" xfId="0" applyFont="1" applyFill="1" applyAlignment="1">
      <alignment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 Narrow"/>
        <family val="2"/>
        <scheme val="minor"/>
      </font>
      <fill>
        <patternFill patternType="solid">
          <fgColor indexed="64"/>
          <bgColor rgb="FFF2F2F2"/>
        </patternFill>
      </fill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 Narrow"/>
        <family val="2"/>
        <scheme val="minor"/>
      </font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 Narrow"/>
        <family val="2"/>
        <scheme val="minor"/>
      </font>
      <numFmt numFmtId="13" formatCode="0%"/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 Narrow"/>
        <family val="2"/>
        <scheme val="minor"/>
      </font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 Narrow"/>
        <family val="2"/>
        <scheme val="minor"/>
      </font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 Narrow"/>
        <family val="2"/>
        <scheme val="minor"/>
      </font>
      <numFmt numFmtId="164" formatCode="dd\ mmm\ yyyy"/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 Narrow"/>
        <family val="2"/>
        <scheme val="minor"/>
      </font>
      <numFmt numFmtId="164" formatCode="dd\ mmm\ yyyy"/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 Narrow"/>
        <family val="2"/>
        <scheme val="minor"/>
      </font>
      <fill>
        <patternFill patternType="solid">
          <fgColor indexed="64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ptos Narrow"/>
        <family val="2"/>
        <scheme val="minor"/>
      </font>
      <fill>
        <patternFill patternType="solid">
          <fgColor indexed="64"/>
          <bgColor rgb="FFF2F2F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Planning de l’application 1 — échéance novembre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Décalage</c:v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'Chart Data'!$A$2:$A$14</c:f>
              <c:strCache>
                <c:ptCount val="13"/>
                <c:pt idx="0">
                  <c:v>Déterminer la liste des tâches</c:v>
                </c:pt>
                <c:pt idx="1">
                  <c:v>Lire les documents de présentation de l’entreprise</c:v>
                </c:pt>
                <c:pt idx="2">
                  <c:v>Synthétiser le contexte et les besoins</c:v>
                </c:pt>
                <c:pt idx="3">
                  <c:v>Définir le périmètre et les fonctionnalités</c:v>
                </c:pt>
                <c:pt idx="4">
                  <c:v>Rédiger le cahier des charges</c:v>
                </c:pt>
                <c:pt idx="5">
                  <c:v>Faire relire et corriger le cahier des charges</c:v>
                </c:pt>
                <c:pt idx="6">
                  <c:v>Finaliser le cahier des charges</c:v>
                </c:pt>
                <c:pt idx="7">
                  <c:v>Concevoir les maquettes et l’architecture</c:v>
                </c:pt>
                <c:pt idx="8">
                  <c:v>Développer l’application</c:v>
                </c:pt>
                <c:pt idx="9">
                  <c:v>Réaliser les tests fonctionnels</c:v>
                </c:pt>
                <c:pt idx="10">
                  <c:v>Corriger et stabiliser l’application</c:v>
                </c:pt>
                <c:pt idx="11">
                  <c:v>Préparer la démonstration et la documentation</c:v>
                </c:pt>
                <c:pt idx="12">
                  <c:v>Livrer la première application</c:v>
                </c:pt>
              </c:strCache>
            </c:strRef>
          </c:cat>
          <c:val>
            <c:numRef>
              <c:f>'Chart Data'!$B$2:$B$14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10</c:v>
                </c:pt>
                <c:pt idx="7">
                  <c:v>13</c:v>
                </c:pt>
                <c:pt idx="8">
                  <c:v>20</c:v>
                </c:pt>
                <c:pt idx="9">
                  <c:v>34</c:v>
                </c:pt>
                <c:pt idx="10">
                  <c:v>41</c:v>
                </c:pt>
                <c:pt idx="11">
                  <c:v>48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0-BC40-B552-0B256ECEB805}"/>
            </c:ext>
          </c:extLst>
        </c:ser>
        <c:ser>
          <c:idx val="1"/>
          <c:order val="1"/>
          <c:tx>
            <c:v>Durée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numFmt formatCode="0\ &quot;j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Data'!$A$2:$A$14</c:f>
              <c:strCache>
                <c:ptCount val="13"/>
                <c:pt idx="0">
                  <c:v>Déterminer la liste des tâches</c:v>
                </c:pt>
                <c:pt idx="1">
                  <c:v>Lire les documents de présentation de l’entreprise</c:v>
                </c:pt>
                <c:pt idx="2">
                  <c:v>Synthétiser le contexte et les besoins</c:v>
                </c:pt>
                <c:pt idx="3">
                  <c:v>Définir le périmètre et les fonctionnalités</c:v>
                </c:pt>
                <c:pt idx="4">
                  <c:v>Rédiger le cahier des charges</c:v>
                </c:pt>
                <c:pt idx="5">
                  <c:v>Faire relire et corriger le cahier des charges</c:v>
                </c:pt>
                <c:pt idx="6">
                  <c:v>Finaliser le cahier des charges</c:v>
                </c:pt>
                <c:pt idx="7">
                  <c:v>Concevoir les maquettes et l’architecture</c:v>
                </c:pt>
                <c:pt idx="8">
                  <c:v>Développer l’application</c:v>
                </c:pt>
                <c:pt idx="9">
                  <c:v>Réaliser les tests fonctionnels</c:v>
                </c:pt>
                <c:pt idx="10">
                  <c:v>Corriger et stabiliser l’application</c:v>
                </c:pt>
                <c:pt idx="11">
                  <c:v>Préparer la démonstration et la documentation</c:v>
                </c:pt>
                <c:pt idx="12">
                  <c:v>Livrer la première application</c:v>
                </c:pt>
              </c:strCache>
            </c:strRef>
          </c:cat>
          <c:val>
            <c:numRef>
              <c:f>'Chart Data'!$C$2:$C$14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12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0-BC40-B552-0B256ECEB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6960512"/>
        <c:axId val="576946624"/>
      </c:barChart>
      <c:catAx>
        <c:axId val="5769605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946624"/>
        <c:crosses val="autoZero"/>
        <c:auto val="1"/>
        <c:lblAlgn val="ctr"/>
        <c:lblOffset val="100"/>
        <c:noMultiLvlLbl val="0"/>
      </c:catAx>
      <c:valAx>
        <c:axId val="576946624"/>
        <c:scaling>
          <c:orientation val="minMax"/>
          <c:max val="56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depuis le 6 octobre 2026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6960512"/>
        <c:crosses val="autoZero"/>
        <c:crossBetween val="between"/>
        <c:majorUnit val="7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63500</xdr:colOff>
      <xdr:row>23</xdr:row>
      <xdr:rowOff>139700</xdr:rowOff>
    </xdr:to>
    <xdr:graphicFrame macro="">
      <xdr:nvGraphicFramePr>
        <xdr:cNvPr id="2" name="Gantt Application 1">
          <a:extLst>
            <a:ext uri="{FF2B5EF4-FFF2-40B4-BE49-F238E27FC236}">
              <a16:creationId xmlns:a16="http://schemas.microsoft.com/office/drawing/2014/main" id="{99E80F85-C994-6DF8-6B15-EE4B28D906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D31D7-B06D-A842-8E02-CCA1DBE177F8}" name="PlanningProjet" displayName="PlanningProjet" ref="A5:H21" totalsRowShown="0" headerRowDxfId="1" dataDxfId="2">
  <autoFilter ref="A5:H21" xr:uid="{E75D31D7-B06D-A842-8E02-CCA1DBE177F8}"/>
  <tableColumns count="8">
    <tableColumn id="1" xr3:uid="{969B380A-88C7-A143-A0CD-3A71D0A26298}" name="N°" dataDxfId="9"/>
    <tableColumn id="2" xr3:uid="{97596732-F9FB-6D43-B585-507A86EA60E8}" name="Projet" dataDxfId="8"/>
    <tableColumn id="3" xr3:uid="{72FC531D-D815-704E-942E-601656EBE505}" name="Tâche" dataDxfId="0"/>
    <tableColumn id="4" xr3:uid="{518E1B10-D00A-164F-B683-1AEFCF252F8A}" name="Début" dataDxfId="7"/>
    <tableColumn id="5" xr3:uid="{1C15ECBB-2B6D-CF48-B81D-9F82BFACD0AB}" name="Fin" dataDxfId="6"/>
    <tableColumn id="6" xr3:uid="{37CE710D-4F86-4044-BB52-8110D4B17D67}" name="Durée (j)" dataDxfId="5">
      <calculatedColumnFormula>IF(OR(D6="",E6=""),"",E6-D6+1)</calculatedColumnFormula>
    </tableColumn>
    <tableColumn id="7" xr3:uid="{2398EA0D-B884-9146-9262-21BF3D04432F}" name="Statut" dataDxfId="4"/>
    <tableColumn id="8" xr3:uid="{BC4E2417-7DAC-4C4B-960E-B712354063B4}" name="Avancemen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8F98-CFFF-3E44-B104-CD56DAA3B66E}">
  <dimension ref="A1:H21"/>
  <sheetViews>
    <sheetView showGridLines="0" tabSelected="1" topLeftCell="G1" workbookViewId="0">
      <pane ySplit="5" topLeftCell="A6" activePane="bottomLeft" state="frozen"/>
      <selection pane="bottomLeft" sqref="A1:H1"/>
    </sheetView>
  </sheetViews>
  <sheetFormatPr baseColWidth="10" defaultRowHeight="16" x14ac:dyDescent="0.2"/>
  <cols>
    <col min="1" max="1" width="5.83203125" customWidth="1"/>
    <col min="2" max="2" width="14.1640625" customWidth="1"/>
    <col min="3" max="3" width="40.83203125" customWidth="1"/>
    <col min="4" max="5" width="14.6640625" customWidth="1"/>
    <col min="6" max="6" width="10.33203125" customWidth="1"/>
    <col min="7" max="7" width="17.5" customWidth="1"/>
    <col min="8" max="8" width="12" customWidth="1"/>
  </cols>
  <sheetData>
    <row r="1" spans="1:8" ht="24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">
      <c r="A2" s="2" t="s">
        <v>1</v>
      </c>
      <c r="B2" s="2"/>
      <c r="C2" s="2"/>
      <c r="D2" s="2"/>
      <c r="E2" s="2"/>
      <c r="F2" s="2"/>
      <c r="G2" s="2"/>
      <c r="H2" s="2"/>
    </row>
    <row r="3" spans="1:8" ht="30" customHeight="1" x14ac:dyDescent="0.2">
      <c r="A3" s="22" t="s">
        <v>2</v>
      </c>
      <c r="B3" s="3"/>
      <c r="C3" s="3"/>
      <c r="D3" s="3"/>
      <c r="E3" s="3"/>
      <c r="F3" s="3"/>
      <c r="G3" s="3"/>
      <c r="H3" s="3"/>
    </row>
    <row r="5" spans="1:8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ht="17" x14ac:dyDescent="0.2">
      <c r="A6" s="9">
        <v>1</v>
      </c>
      <c r="B6" s="10" t="s">
        <v>11</v>
      </c>
      <c r="C6" s="23" t="s">
        <v>12</v>
      </c>
      <c r="D6" s="11">
        <v>46301</v>
      </c>
      <c r="E6" s="11">
        <v>46301</v>
      </c>
      <c r="F6" s="9">
        <f>IF(OR(D6="",E6=""),"",E6-D6+1)</f>
        <v>1</v>
      </c>
      <c r="G6" s="9" t="s">
        <v>13</v>
      </c>
      <c r="H6" s="12">
        <v>0</v>
      </c>
    </row>
    <row r="7" spans="1:8" ht="34" x14ac:dyDescent="0.2">
      <c r="A7" s="9">
        <v>2</v>
      </c>
      <c r="B7" s="10" t="s">
        <v>11</v>
      </c>
      <c r="C7" s="23" t="s">
        <v>14</v>
      </c>
      <c r="D7" s="11">
        <v>46301</v>
      </c>
      <c r="E7" s="11">
        <v>46301</v>
      </c>
      <c r="F7" s="9">
        <f t="shared" ref="F7:F21" si="0">IF(OR(D7="",E7=""),"",E7-D7+1)</f>
        <v>1</v>
      </c>
      <c r="G7" s="9" t="s">
        <v>13</v>
      </c>
      <c r="H7" s="12">
        <v>0</v>
      </c>
    </row>
    <row r="8" spans="1:8" ht="17" x14ac:dyDescent="0.2">
      <c r="A8" s="6">
        <v>3</v>
      </c>
      <c r="B8" s="5" t="s">
        <v>11</v>
      </c>
      <c r="C8" s="24" t="s">
        <v>15</v>
      </c>
      <c r="D8" s="7">
        <v>46302</v>
      </c>
      <c r="E8" s="7">
        <v>46303</v>
      </c>
      <c r="F8" s="6">
        <f t="shared" si="0"/>
        <v>2</v>
      </c>
      <c r="G8" s="6" t="s">
        <v>16</v>
      </c>
      <c r="H8" s="8">
        <v>0</v>
      </c>
    </row>
    <row r="9" spans="1:8" ht="17" x14ac:dyDescent="0.2">
      <c r="A9" s="6">
        <v>4</v>
      </c>
      <c r="B9" s="5" t="s">
        <v>11</v>
      </c>
      <c r="C9" s="24" t="s">
        <v>17</v>
      </c>
      <c r="D9" s="7">
        <v>46304</v>
      </c>
      <c r="E9" s="7">
        <v>46304</v>
      </c>
      <c r="F9" s="6">
        <f t="shared" si="0"/>
        <v>1</v>
      </c>
      <c r="G9" s="6" t="s">
        <v>16</v>
      </c>
      <c r="H9" s="8">
        <v>0</v>
      </c>
    </row>
    <row r="10" spans="1:8" ht="17" x14ac:dyDescent="0.2">
      <c r="A10" s="6">
        <v>5</v>
      </c>
      <c r="B10" s="5" t="s">
        <v>11</v>
      </c>
      <c r="C10" s="24" t="s">
        <v>18</v>
      </c>
      <c r="D10" s="7">
        <v>46307</v>
      </c>
      <c r="E10" s="7">
        <v>46309</v>
      </c>
      <c r="F10" s="6">
        <f t="shared" si="0"/>
        <v>3</v>
      </c>
      <c r="G10" s="6" t="s">
        <v>16</v>
      </c>
      <c r="H10" s="8">
        <v>0</v>
      </c>
    </row>
    <row r="11" spans="1:8" ht="17" x14ac:dyDescent="0.2">
      <c r="A11" s="6">
        <v>6</v>
      </c>
      <c r="B11" s="5" t="s">
        <v>11</v>
      </c>
      <c r="C11" s="24" t="s">
        <v>19</v>
      </c>
      <c r="D11" s="7">
        <v>46310</v>
      </c>
      <c r="E11" s="7">
        <v>46310</v>
      </c>
      <c r="F11" s="6">
        <f t="shared" si="0"/>
        <v>1</v>
      </c>
      <c r="G11" s="6" t="s">
        <v>16</v>
      </c>
      <c r="H11" s="8">
        <v>0</v>
      </c>
    </row>
    <row r="12" spans="1:8" ht="17" x14ac:dyDescent="0.2">
      <c r="A12" s="13">
        <v>7</v>
      </c>
      <c r="B12" s="14" t="s">
        <v>11</v>
      </c>
      <c r="C12" s="25" t="s">
        <v>20</v>
      </c>
      <c r="D12" s="15">
        <v>46311</v>
      </c>
      <c r="E12" s="15">
        <v>46311</v>
      </c>
      <c r="F12" s="13">
        <f t="shared" si="0"/>
        <v>1</v>
      </c>
      <c r="G12" s="13" t="s">
        <v>21</v>
      </c>
      <c r="H12" s="16">
        <v>0</v>
      </c>
    </row>
    <row r="13" spans="1:8" ht="17" x14ac:dyDescent="0.2">
      <c r="A13" s="6">
        <v>8</v>
      </c>
      <c r="B13" s="5" t="s">
        <v>11</v>
      </c>
      <c r="C13" s="24" t="s">
        <v>22</v>
      </c>
      <c r="D13" s="7">
        <v>46314</v>
      </c>
      <c r="E13" s="7">
        <v>46318</v>
      </c>
      <c r="F13" s="6">
        <f t="shared" si="0"/>
        <v>5</v>
      </c>
      <c r="G13" s="6" t="s">
        <v>16</v>
      </c>
      <c r="H13" s="8">
        <v>0</v>
      </c>
    </row>
    <row r="14" spans="1:8" ht="17" x14ac:dyDescent="0.2">
      <c r="A14" s="6">
        <v>9</v>
      </c>
      <c r="B14" s="5" t="s">
        <v>11</v>
      </c>
      <c r="C14" s="24" t="s">
        <v>23</v>
      </c>
      <c r="D14" s="7">
        <v>46321</v>
      </c>
      <c r="E14" s="7">
        <v>46332</v>
      </c>
      <c r="F14" s="6">
        <f t="shared" si="0"/>
        <v>12</v>
      </c>
      <c r="G14" s="6" t="s">
        <v>16</v>
      </c>
      <c r="H14" s="8">
        <v>0</v>
      </c>
    </row>
    <row r="15" spans="1:8" ht="17" x14ac:dyDescent="0.2">
      <c r="A15" s="6">
        <v>10</v>
      </c>
      <c r="B15" s="5" t="s">
        <v>11</v>
      </c>
      <c r="C15" s="24" t="s">
        <v>24</v>
      </c>
      <c r="D15" s="7">
        <v>46335</v>
      </c>
      <c r="E15" s="7">
        <v>46339</v>
      </c>
      <c r="F15" s="6">
        <f t="shared" si="0"/>
        <v>5</v>
      </c>
      <c r="G15" s="6" t="s">
        <v>16</v>
      </c>
      <c r="H15" s="8">
        <v>0</v>
      </c>
    </row>
    <row r="16" spans="1:8" ht="17" x14ac:dyDescent="0.2">
      <c r="A16" s="6">
        <v>11</v>
      </c>
      <c r="B16" s="5" t="s">
        <v>11</v>
      </c>
      <c r="C16" s="24" t="s">
        <v>25</v>
      </c>
      <c r="D16" s="7">
        <v>46342</v>
      </c>
      <c r="E16" s="7">
        <v>46346</v>
      </c>
      <c r="F16" s="6">
        <f t="shared" si="0"/>
        <v>5</v>
      </c>
      <c r="G16" s="6" t="s">
        <v>16</v>
      </c>
      <c r="H16" s="8">
        <v>0</v>
      </c>
    </row>
    <row r="17" spans="1:8" ht="17" x14ac:dyDescent="0.2">
      <c r="A17" s="6">
        <v>12</v>
      </c>
      <c r="B17" s="5" t="s">
        <v>11</v>
      </c>
      <c r="C17" s="24" t="s">
        <v>26</v>
      </c>
      <c r="D17" s="7">
        <v>46349</v>
      </c>
      <c r="E17" s="7">
        <v>46353</v>
      </c>
      <c r="F17" s="6">
        <f t="shared" si="0"/>
        <v>5</v>
      </c>
      <c r="G17" s="6" t="s">
        <v>16</v>
      </c>
      <c r="H17" s="8">
        <v>0</v>
      </c>
    </row>
    <row r="18" spans="1:8" ht="17" x14ac:dyDescent="0.2">
      <c r="A18" s="13">
        <v>13</v>
      </c>
      <c r="B18" s="14" t="s">
        <v>11</v>
      </c>
      <c r="C18" s="25" t="s">
        <v>27</v>
      </c>
      <c r="D18" s="15">
        <v>46356</v>
      </c>
      <c r="E18" s="15">
        <v>46356</v>
      </c>
      <c r="F18" s="13">
        <f t="shared" si="0"/>
        <v>1</v>
      </c>
      <c r="G18" s="13" t="s">
        <v>21</v>
      </c>
      <c r="H18" s="16">
        <v>0</v>
      </c>
    </row>
    <row r="19" spans="1:8" ht="17" x14ac:dyDescent="0.2">
      <c r="A19" s="17">
        <v>14</v>
      </c>
      <c r="B19" s="18" t="s">
        <v>28</v>
      </c>
      <c r="C19" s="26" t="s">
        <v>29</v>
      </c>
      <c r="D19" s="19"/>
      <c r="E19" s="19"/>
      <c r="F19" s="17" t="str">
        <f t="shared" si="0"/>
        <v/>
      </c>
      <c r="G19" s="17" t="s">
        <v>30</v>
      </c>
      <c r="H19" s="20">
        <v>0</v>
      </c>
    </row>
    <row r="20" spans="1:8" ht="17" x14ac:dyDescent="0.2">
      <c r="A20" s="17">
        <v>15</v>
      </c>
      <c r="B20" s="18" t="s">
        <v>28</v>
      </c>
      <c r="C20" s="26" t="s">
        <v>18</v>
      </c>
      <c r="D20" s="19"/>
      <c r="E20" s="19"/>
      <c r="F20" s="17" t="str">
        <f t="shared" si="0"/>
        <v/>
      </c>
      <c r="G20" s="17" t="s">
        <v>30</v>
      </c>
      <c r="H20" s="20">
        <v>0</v>
      </c>
    </row>
    <row r="21" spans="1:8" ht="17" x14ac:dyDescent="0.2">
      <c r="A21" s="17">
        <v>16</v>
      </c>
      <c r="B21" s="18" t="s">
        <v>28</v>
      </c>
      <c r="C21" s="26" t="s">
        <v>31</v>
      </c>
      <c r="D21" s="19"/>
      <c r="E21" s="19"/>
      <c r="F21" s="17" t="str">
        <f t="shared" si="0"/>
        <v/>
      </c>
      <c r="G21" s="17" t="s">
        <v>30</v>
      </c>
      <c r="H21" s="20">
        <v>0</v>
      </c>
    </row>
  </sheetData>
  <mergeCells count="3">
    <mergeCell ref="A1:H1"/>
    <mergeCell ref="A2:H2"/>
    <mergeCell ref="A3:H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8633-3D08-8E42-9C69-8DFDADF8236C}">
  <dimension ref="A1:C14"/>
  <sheetViews>
    <sheetView showGridLines="0" workbookViewId="0"/>
  </sheetViews>
  <sheetFormatPr baseColWidth="10" defaultRowHeight="16" x14ac:dyDescent="0.2"/>
  <sheetData>
    <row r="1" spans="1:3" x14ac:dyDescent="0.2">
      <c r="A1" t="s">
        <v>5</v>
      </c>
      <c r="B1" t="s">
        <v>32</v>
      </c>
      <c r="C1" t="s">
        <v>33</v>
      </c>
    </row>
    <row r="2" spans="1:3" x14ac:dyDescent="0.2">
      <c r="A2" t="str">
        <f>'Planning Gantt'!C6</f>
        <v>Déterminer la liste des tâches</v>
      </c>
      <c r="B2" s="21">
        <f>'Planning Gantt'!D6-DATE(2026,10,6)</f>
        <v>0</v>
      </c>
      <c r="C2" s="21">
        <f>'Planning Gantt'!F6</f>
        <v>1</v>
      </c>
    </row>
    <row r="3" spans="1:3" x14ac:dyDescent="0.2">
      <c r="A3" t="str">
        <f>'Planning Gantt'!C7</f>
        <v>Lire les documents de présentation de l’entreprise</v>
      </c>
      <c r="B3" s="21">
        <f>'Planning Gantt'!D7-DATE(2026,10,6)</f>
        <v>0</v>
      </c>
      <c r="C3" s="21">
        <f>'Planning Gantt'!F7</f>
        <v>1</v>
      </c>
    </row>
    <row r="4" spans="1:3" x14ac:dyDescent="0.2">
      <c r="A4" t="str">
        <f>'Planning Gantt'!C8</f>
        <v>Synthétiser le contexte et les besoins</v>
      </c>
      <c r="B4" s="21">
        <f>'Planning Gantt'!D8-DATE(2026,10,6)</f>
        <v>1</v>
      </c>
      <c r="C4" s="21">
        <f>'Planning Gantt'!F8</f>
        <v>2</v>
      </c>
    </row>
    <row r="5" spans="1:3" x14ac:dyDescent="0.2">
      <c r="A5" t="str">
        <f>'Planning Gantt'!C9</f>
        <v>Définir le périmètre et les fonctionnalités</v>
      </c>
      <c r="B5" s="21">
        <f>'Planning Gantt'!D9-DATE(2026,10,6)</f>
        <v>3</v>
      </c>
      <c r="C5" s="21">
        <f>'Planning Gantt'!F9</f>
        <v>1</v>
      </c>
    </row>
    <row r="6" spans="1:3" x14ac:dyDescent="0.2">
      <c r="A6" t="str">
        <f>'Planning Gantt'!C10</f>
        <v>Rédiger le cahier des charges</v>
      </c>
      <c r="B6" s="21">
        <f>'Planning Gantt'!D10-DATE(2026,10,6)</f>
        <v>6</v>
      </c>
      <c r="C6" s="21">
        <f>'Planning Gantt'!F10</f>
        <v>3</v>
      </c>
    </row>
    <row r="7" spans="1:3" x14ac:dyDescent="0.2">
      <c r="A7" t="str">
        <f>'Planning Gantt'!C11</f>
        <v>Faire relire et corriger le cahier des charges</v>
      </c>
      <c r="B7" s="21">
        <f>'Planning Gantt'!D11-DATE(2026,10,6)</f>
        <v>9</v>
      </c>
      <c r="C7" s="21">
        <f>'Planning Gantt'!F11</f>
        <v>1</v>
      </c>
    </row>
    <row r="8" spans="1:3" x14ac:dyDescent="0.2">
      <c r="A8" t="str">
        <f>'Planning Gantt'!C12</f>
        <v>Finaliser le cahier des charges</v>
      </c>
      <c r="B8" s="21">
        <f>'Planning Gantt'!D12-DATE(2026,10,6)</f>
        <v>10</v>
      </c>
      <c r="C8" s="21">
        <f>'Planning Gantt'!F12</f>
        <v>1</v>
      </c>
    </row>
    <row r="9" spans="1:3" x14ac:dyDescent="0.2">
      <c r="A9" t="str">
        <f>'Planning Gantt'!C13</f>
        <v>Concevoir les maquettes et l’architecture</v>
      </c>
      <c r="B9" s="21">
        <f>'Planning Gantt'!D13-DATE(2026,10,6)</f>
        <v>13</v>
      </c>
      <c r="C9" s="21">
        <f>'Planning Gantt'!F13</f>
        <v>5</v>
      </c>
    </row>
    <row r="10" spans="1:3" x14ac:dyDescent="0.2">
      <c r="A10" t="str">
        <f>'Planning Gantt'!C14</f>
        <v>Développer l’application</v>
      </c>
      <c r="B10" s="21">
        <f>'Planning Gantt'!D14-DATE(2026,10,6)</f>
        <v>20</v>
      </c>
      <c r="C10" s="21">
        <f>'Planning Gantt'!F14</f>
        <v>12</v>
      </c>
    </row>
    <row r="11" spans="1:3" x14ac:dyDescent="0.2">
      <c r="A11" t="str">
        <f>'Planning Gantt'!C15</f>
        <v>Réaliser les tests fonctionnels</v>
      </c>
      <c r="B11" s="21">
        <f>'Planning Gantt'!D15-DATE(2026,10,6)</f>
        <v>34</v>
      </c>
      <c r="C11" s="21">
        <f>'Planning Gantt'!F15</f>
        <v>5</v>
      </c>
    </row>
    <row r="12" spans="1:3" x14ac:dyDescent="0.2">
      <c r="A12" t="str">
        <f>'Planning Gantt'!C16</f>
        <v>Corriger et stabiliser l’application</v>
      </c>
      <c r="B12" s="21">
        <f>'Planning Gantt'!D16-DATE(2026,10,6)</f>
        <v>41</v>
      </c>
      <c r="C12" s="21">
        <f>'Planning Gantt'!F16</f>
        <v>5</v>
      </c>
    </row>
    <row r="13" spans="1:3" x14ac:dyDescent="0.2">
      <c r="A13" t="str">
        <f>'Planning Gantt'!C17</f>
        <v>Préparer la démonstration et la documentation</v>
      </c>
      <c r="B13" s="21">
        <f>'Planning Gantt'!D17-DATE(2026,10,6)</f>
        <v>48</v>
      </c>
      <c r="C13" s="21">
        <f>'Planning Gantt'!F17</f>
        <v>5</v>
      </c>
    </row>
    <row r="14" spans="1:3" x14ac:dyDescent="0.2">
      <c r="A14" t="str">
        <f>'Planning Gantt'!C18</f>
        <v>Livrer la première application</v>
      </c>
      <c r="B14" s="21">
        <f>'Planning Gantt'!D18-DATE(2026,10,6)</f>
        <v>55</v>
      </c>
      <c r="C14" s="21">
        <f>'Planning Gantt'!F18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 Gantt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Clothilde LEALI</dc:creator>
  <cp:lastModifiedBy>Clothilde LEALI</cp:lastModifiedBy>
  <dcterms:created xsi:type="dcterms:W3CDTF">2026-10-06T12:56:28Z</dcterms:created>
  <dcterms:modified xsi:type="dcterms:W3CDTF">2026-10-06T13:04:33Z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9ba20-09d0-4470-b11b-4ead68b00a8f_Enabled">
    <vt:lpwstr>true</vt:lpwstr>
  </property>
  <property fmtid="{D5CDD505-2E9C-101B-9397-08002B2CF9AE}" pid="3" name="MSIP_Label_4559ba20-09d0-4470-b11b-4ead68b00a8f_SetDate">
    <vt:lpwstr>2026-10-06T13:03:43Z</vt:lpwstr>
  </property>
  <property fmtid="{D5CDD505-2E9C-101B-9397-08002B2CF9AE}" pid="4" name="MSIP_Label_4559ba20-09d0-4470-b11b-4ead68b00a8f_Method">
    <vt:lpwstr>Standard</vt:lpwstr>
  </property>
  <property fmtid="{D5CDD505-2E9C-101B-9397-08002B2CF9AE}" pid="5" name="MSIP_Label_4559ba20-09d0-4470-b11b-4ead68b00a8f_Name">
    <vt:lpwstr>Public</vt:lpwstr>
  </property>
  <property fmtid="{D5CDD505-2E9C-101B-9397-08002B2CF9AE}" pid="6" name="MSIP_Label_4559ba20-09d0-4470-b11b-4ead68b00a8f_SiteId">
    <vt:lpwstr>0f3a58c7-d7cc-43ff-99c1-82481d5f8115</vt:lpwstr>
  </property>
  <property fmtid="{D5CDD505-2E9C-101B-9397-08002B2CF9AE}" pid="7" name="MSIP_Label_4559ba20-09d0-4470-b11b-4ead68b00a8f_ActionId">
    <vt:lpwstr>6003415f-9c6c-440c-9f53-11bd0b02950a</vt:lpwstr>
  </property>
  <property fmtid="{D5CDD505-2E9C-101B-9397-08002B2CF9AE}" pid="8" name="MSIP_Label_4559ba20-09d0-4470-b11b-4ead68b00a8f_ContentBits">
    <vt:lpwstr>0</vt:lpwstr>
  </property>
  <property fmtid="{D5CDD505-2E9C-101B-9397-08002B2CF9AE}" pid="9" name="MSIP_Label_4559ba20-09d0-4470-b11b-4ead68b00a8f_Tag">
    <vt:lpwstr>50, 3, 0, 1</vt:lpwstr>
  </property>
</Properties>
</file>